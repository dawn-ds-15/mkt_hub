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88732fd4c4b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bfbe0122334342"/>
    <x:sheet xmlns:r="http://schemas.openxmlformats.org/officeDocument/2006/relationships" name="Task List" sheetId="2" r:id="R331be1be57cb4b1e"/>
    <x:sheet xmlns:r="http://schemas.openxmlformats.org/officeDocument/2006/relationships" name="Leads Detail" sheetId="3" r:id="R843b1bf14aea45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yyyy-mm-dd"/>
    <x:numFmt numFmtId="202" formatCode="#,##0"/>
    <x:numFmt numFmtId="203" formatCode="#,##0 &quot;VNĐ&quot;"/>
    <x:numFmt numFmtId="204" formatCode="0.0%"/>
    <x:numFmt numFmtId="205" formatCode="0.00&quot;x&quot;"/>
    <x:numFmt numFmtId="206" formatCode="yyyy-mm-dd hh:mm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65D"/>
      <x:name val="Carlito"/>
    </x:font>
    <x:font>
      <x:b/>
      <x:sz val="11"/>
      <x:color rgb="FF17365D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202" fontId="5" fillId="5" borderId="1" xfId="0" applyNumberFormat="1" applyFont="1" applyFill="1" applyBorder="1" applyAlignment="1">
      <x:alignment vertical="center" wrapText="1"/>
    </x:xf>
    <x:xf numFmtId="203" fontId="5" fillId="5" borderId="1" xfId="0" applyNumberFormat="1" applyFont="1" applyFill="1" applyBorder="1" applyAlignment="1">
      <x:alignment vertical="center" wrapText="1"/>
    </x:xf>
    <x:xf numFmtId="204" fontId="5" fillId="0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204" fontId="5" fillId="5" borderId="1" xfId="0" applyNumberFormat="1" applyFont="1" applyFill="1" applyBorder="1" applyAlignment="1">
      <x:alignment vertical="center" wrapText="1"/>
    </x:xf>
    <x:xf numFmtId="203" fontId="5" fillId="0" borderId="1" xfId="0" applyNumberFormat="1" applyFont="1" applyFill="1" applyBorder="1" applyAlignment="1">
      <x:alignment vertical="center" wrapText="1"/>
    </x:xf>
    <x:xf numFmtId="205" fontId="5" fillId="0" borderId="1" xfId="0" applyNumberFormat="1" applyFont="1" applyFill="1" applyBorder="1" applyAlignment="1">
      <x:alignment vertical="center" wrapText="1"/>
    </x:xf>
    <x:xf numFmtId="203" fontId="5" fillId="7" borderId="1" xfId="0" applyNumberFormat="1" applyFont="1" applyFill="1" applyBorder="1" applyAlignment="1">
      <x:alignment vertical="center" wrapText="1"/>
    </x:xf>
    <x:xf numFmtId="205" fontId="5" fillId="7" borderId="1" xfId="0" applyNumberFormat="1" applyFont="1" applyFill="1" applyBorder="1" applyAlignment="1">
      <x:alignment vertical="center" wrapText="1"/>
    </x:xf>
    <x:xf numFmtId="203" fontId="6" fillId="7" borderId="1" xfId="0" applyNumberFormat="1" applyFont="1" applyFill="1" applyBorder="1" applyAlignment="1">
      <x:alignment vertical="center" wrapText="1"/>
    </x:xf>
    <x:xf numFmtId="205" fontId="6" fillId="7" borderId="1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206" fontId="5" fillId="0" borderId="1" xfId="0" applyNumberFormat="1" applyFont="1" applyFill="1" applyBorder="1" applyAlignment="1">
      <x:alignment vertical="center" wrapText="1"/>
    </x:xf>
    <x:xf numFmtId="202" fontId="5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b1a88c12784246" /><Relationship Type="http://schemas.openxmlformats.org/officeDocument/2006/relationships/theme" Target="/xl/theme/theme1.xml" Id="Rcf4f011ae362457e" /><Relationship Type="http://schemas.openxmlformats.org/officeDocument/2006/relationships/sharedStrings" Target="/xl/sharedStrings.xml" Id="R009316023b8d4296" /><Relationship Type="http://schemas.openxmlformats.org/officeDocument/2006/relationships/worksheet" Target="/xl/worksheets/sheet1.xml" Id="R1abfbe0122334342" /><Relationship Type="http://schemas.openxmlformats.org/officeDocument/2006/relationships/worksheet" Target="/xl/worksheets/sheet2.xml" Id="R331be1be57cb4b1e" /><Relationship Type="http://schemas.openxmlformats.org/officeDocument/2006/relationships/worksheet" Target="/xl/worksheets/sheet3.xml" Id="R843b1bf14aea45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f6568e20ee74f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Funnel KPI Plan vs Actual (count)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</c:v>
          </c:tx>
          <c:cat>
            <c:strRef>
              <c:f>'Summary'!$A$9:$A$13</c:f>
              <c:strCache>
                <c:ptCount val="0"/>
              </c:strCache>
            </c:strRef>
          </c:cat>
          <c:val>
            <c:numRef>
              <c:f>'Summary'!$B$9:$B$13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Actual</c:v>
          </c:tx>
          <c:cat>
            <c:strRef>
              <c:f>'Summary'!$A$9:$A$13</c:f>
              <c:strCache>
                <c:ptCount val="0"/>
              </c:strCache>
            </c:strRef>
          </c:cat>
          <c:val>
            <c:numRef>
              <c:f>'Summary'!$C$9:$C$13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6568e20ee74fe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shboardTaskList" displayName="DashboardTaskList" ref="A4:S7" headerRowCount="1" totalsRowCount="0" totalsRowShown="0">
  <x:autoFilter ref="A4:S7"/>
  <x:tableColumns count="19">
    <x:tableColumn id="1" name="id"/>
    <x:tableColumn id="2" name="project_id"/>
    <x:tableColumn id="3" name="project"/>
    <x:tableColumn id="4" name="task_name"/>
    <x:tableColumn id="5" name="description"/>
    <x:tableColumn id="6" name="assignee"/>
    <x:tableColumn id="7" name="stakeholders"/>
    <x:tableColumn id="8" name="status"/>
    <x:tableColumn id="9" name="priority"/>
    <x:tableColumn id="10" name="start_date"/>
    <x:tableColumn id="11" name="due_date"/>
    <x:tableColumn id="12" name="completed_date"/>
    <x:tableColumn id="13" name="exec_week"/>
    <x:tableColumn id="14" name="reason"/>
    <x:tableColumn id="15" name="needed_support_bod"/>
    <x:tableColumn id="16" name="link"/>
    <x:tableColumn id="17" name="remark"/>
    <x:tableColumn id="18" name="created_at"/>
    <x:tableColumn id="19" name="updated_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shboardClosedDeals" displayName="DashboardClosedDeals" ref="A4:I7" headerRowCount="1" totalsRowCount="0" totalsRowShown="0">
  <x:autoFilter ref="A4:I7"/>
  <x:tableColumns count="9">
    <x:tableColumn id="1" name="year"/>
    <x:tableColumn id="2" name="week"/>
    <x:tableColumn id="3" name="company_name"/>
    <x:tableColumn id="4" name="size"/>
    <x:tableColumn id="5" name="project"/>
    <x:tableColumn id="6" name="setup_fee"/>
    <x:tableColumn id="7" name="monthly_fee"/>
    <x:tableColumn id="8" name="deal_value"/>
    <x:tableColumn id="9" name="closed_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shboardWeeklyPipeline" displayName="DashboardWeeklyPipeline" ref="A10:H15" headerRowCount="1" totalsRowCount="0" totalsRowShown="0">
  <x:autoFilter ref="A10:H15"/>
  <x:tableColumns count="8">
    <x:tableColumn id="1" name="week"/>
    <x:tableColumn id="2" name="raw_leads"/>
    <x:tableColumn id="3" name="mql"/>
    <x:tableColumn id="4" name="sql"/>
    <x:tableColumn id="5" name="opp_count"/>
    <x:tableColumn id="6" name="closed_deal_count"/>
    <x:tableColumn id="7" name="pipeline_value"/>
    <x:tableColumn id="8" name="won_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b829f7f873b42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e6d5519ff34f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bbcd64c8204ead" /><Relationship Type="http://schemas.openxmlformats.org/officeDocument/2006/relationships/table" Target="/xl/tables/table3.xml" Id="Rdbf781ddf69946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6" hidden="0" customWidth="1"/>
    <x:col min="5" max="5" width="3" hidden="0" customWidth="1"/>
    <x:col min="6" max="6" width="20" hidden="0" customWidth="1"/>
    <x:col min="7" max="7" width="18" hidden="0" customWidth="1"/>
    <x:col min="8" max="8" width="14" hidden="0" customWidth="1"/>
  </x:cols>
  <x:sheetData>
    <x:row r="1" ht="36" customHeight="1">
      <x:c r="A1" s="4" t="str">
        <x:v>MKT HUB - DASHBOARD REPORT</x:v>
      </x:c>
      <x:c r="B1" s="4" t="str">
        <x:v>MKT HUB - DASHBOARD REPORT</x:v>
      </x:c>
      <x:c r="C1" s="4" t="str">
        <x:v>MKT HUB - DASHBOARD REPORT</x:v>
      </x:c>
      <x:c r="D1" s="4" t="str">
        <x:v>MKT HUB - DASHBOARD REPORT</x:v>
      </x:c>
      <x:c r="E1" s="4" t="str">
        <x:v>MKT HUB - DASHBOARD REPORT</x:v>
      </x:c>
      <x:c r="F1" s="4" t="str">
        <x:v>MKT HUB - DASHBOARD REPORT</x:v>
      </x:c>
      <x:c r="G1" s="4" t="str">
        <x:v>MKT HUB - DASHBOARD REPORT</x:v>
      </x:c>
      <x:c r="H1" s="4" t="str">
        <x:v>MKT HUB - DASHBOARD REPORT</x:v>
      </x:c>
    </x:row>
    <x:row r="2" ht="24" customHeight="1">
      <x:c r="A2" s="8" t="str">
        <x:v>Template nguồn để generate báo cáo theo Tuần / Tháng / Quý / Năm</x:v>
      </x:c>
      <x:c r="B2" s="8" t="str">
        <x:v>Template nguồn để generate báo cáo theo Tuần / Tháng / Quý / Năm</x:v>
      </x:c>
      <x:c r="C2" s="8" t="str">
        <x:v>Template nguồn để generate báo cáo theo Tuần / Tháng / Quý / Năm</x:v>
      </x:c>
      <x:c r="D2" s="8" t="str">
        <x:v>Template nguồn để generate báo cáo theo Tuần / Tháng / Quý / Năm</x:v>
      </x:c>
      <x:c r="E2" s="8" t="str">
        <x:v>Template nguồn để generate báo cáo theo Tuần / Tháng / Quý / Năm</x:v>
      </x:c>
      <x:c r="F2" s="8" t="str">
        <x:v>Template nguồn để generate báo cáo theo Tuần / Tháng / Quý / Năm</x:v>
      </x:c>
      <x:c r="G2" s="8" t="str">
        <x:v>Template nguồn để generate báo cáo theo Tuần / Tháng / Quý / Năm</x:v>
      </x:c>
      <x:c r="H2" s="8" t="str">
        <x:v>Template nguồn để generate báo cáo theo Tuần / Tháng / Quý / Năm</x:v>
      </x:c>
    </x:row>
    <x:row r="4" ht="30" customHeight="1">
      <x:c r="A4" s="11" t="str">
        <x:v>Kỳ báo cáo</x:v>
      </x:c>
      <x:c r="B4" s="13" t="str">
        <x:v>Quý 2/2026</x:v>
      </x:c>
      <x:c r="F4" s="21" t="str">
        <x:v>UNIT ECONOMICS</x:v>
      </x:c>
      <x:c r="G4" s="21" t="str">
        <x:v>UNIT ECONOMICS</x:v>
      </x:c>
      <x:c r="H4" s="21" t="str">
        <x:v>UNIT ECONOMICS</x:v>
      </x:c>
    </x:row>
    <x:row r="5">
      <x:c r="A5" s="11" t="str">
        <x:v>Năm</x:v>
      </x:c>
      <x:c r="B5" s="14" t="n">
        <x:v>2026</x:v>
      </x:c>
      <x:c r="F5" s="31" t="str">
        <x:v>Tổng chi phí</x:v>
      </x:c>
      <x:c r="G5" s="28" t="n">
        <x:v>620000000</x:v>
      </x:c>
      <x:c r="H5" s="25" t="str">
        <x:v>VNĐ</x:v>
      </x:c>
    </x:row>
    <x:row r="6">
      <x:c r="A6" s="11" t="str">
        <x:v>Ngày tạo</x:v>
      </x:c>
      <x:c r="B6" s="15" t="n">
        <x:v>46203</x:v>
      </x:c>
      <x:c r="F6" s="31" t="str">
        <x:v>Closed Deal</x:v>
      </x:c>
      <x:c r="G6" s="27" t="n">
        <x:v>38</x:v>
      </x:c>
      <x:c r="H6" s="25" t="str">
        <x:v>deal</x:v>
      </x:c>
    </x:row>
    <x:row r="7">
      <x:c r="F7" s="31" t="str">
        <x:v>Setup Fee TB</x:v>
      </x:c>
      <x:c r="G7" s="28" t="n">
        <x:v>50000000</x:v>
      </x:c>
      <x:c r="H7" s="25" t="str">
        <x:v>VNĐ</x:v>
      </x:c>
    </x:row>
    <x:row r="8" ht="30" customHeight="1">
      <x:c r="A8" s="21" t="str">
        <x:v>KPI</x:v>
      </x:c>
      <x:c r="B8" s="21" t="str">
        <x:v>Plan</x:v>
      </x:c>
      <x:c r="C8" s="21" t="str">
        <x:v>Actual</x:v>
      </x:c>
      <x:c r="D8" s="21" t="str">
        <x:v>% vs Plan</x:v>
      </x:c>
      <x:c r="F8" s="31" t="str">
        <x:v>Monthly Fee TB</x:v>
      </x:c>
      <x:c r="G8" s="28" t="n">
        <x:v>5000000</x:v>
      </x:c>
      <x:c r="H8" s="25" t="str">
        <x:v>VNĐ</x:v>
      </x:c>
    </x:row>
    <x:row r="9">
      <x:c r="A9" s="25" t="str">
        <x:v>Raw Leads</x:v>
      </x:c>
      <x:c r="B9" s="27" t="n">
        <x:v>3600</x:v>
      </x:c>
      <x:c r="C9" s="27" t="n">
        <x:v>3480</x:v>
      </x:c>
      <x:c r="D9" s="29" t="n">
        <x:f>IFERROR(C9/B9,0)</x:f>
        <x:v>0.9666666666666667</x:v>
      </x:c>
      <x:c r="F9" s="31" t="str">
        <x:v>Churn Rate</x:v>
      </x:c>
      <x:c r="G9" s="32" t="n">
        <x:v>0.02</x:v>
      </x:c>
      <x:c r="H9" s="25" t="str">
        <x:v>%/tháng</x:v>
      </x:c>
    </x:row>
    <x:row r="10">
      <x:c r="A10" s="25" t="str">
        <x:v>MQL</x:v>
      </x:c>
      <x:c r="B10" s="27" t="n">
        <x:v>1440</x:v>
      </x:c>
      <x:c r="C10" s="27" t="n">
        <x:v>1392</x:v>
      </x:c>
      <x:c r="D10" s="29" t="n">
        <x:f>IFERROR(C10/B10,0)</x:f>
        <x:v>0.9666666666666667</x:v>
      </x:c>
      <x:c r="F10" s="31" t="str">
        <x:v>Gross Margin</x:v>
      </x:c>
      <x:c r="G10" s="32" t="n">
        <x:v>0.6</x:v>
      </x:c>
      <x:c r="H10" s="25" t="str">
        <x:v>%</x:v>
      </x:c>
    </x:row>
    <x:row r="11">
      <x:c r="A11" s="25" t="str">
        <x:v>SQL</x:v>
      </x:c>
      <x:c r="B11" s="27" t="n">
        <x:v>630</x:v>
      </x:c>
      <x:c r="C11" s="27" t="n">
        <x:v>612</x:v>
      </x:c>
      <x:c r="D11" s="29" t="n">
        <x:f>IFERROR(C11/B11,0)</x:f>
        <x:v>0.9714285714285714</x:v>
      </x:c>
      <x:c r="F11" s="31" t="str">
        <x:v>CAC</x:v>
      </x:c>
      <x:c r="G11" s="37" t="n">
        <x:f>IFERROR(G5/G6,0)</x:f>
        <x:v>16315789.47368421</x:v>
      </x:c>
      <x:c r="H11" s="25" t="str">
        <x:v>VNĐ/deal</x:v>
      </x:c>
    </x:row>
    <x:row r="12">
      <x:c r="A12" s="25" t="str">
        <x:v>OPP Count</x:v>
      </x:c>
      <x:c r="B12" s="27" t="n">
        <x:v>120</x:v>
      </x:c>
      <x:c r="C12" s="27" t="n">
        <x:v>116</x:v>
      </x:c>
      <x:c r="D12" s="29" t="n">
        <x:f>IFERROR(C12/B12,0)</x:f>
        <x:v>0.9666666666666667</x:v>
      </x:c>
      <x:c r="F12" s="31" t="str">
        <x:v>LTV</x:v>
      </x:c>
      <x:c r="G12" s="37" t="n">
        <x:f>(G7+G8*(1/G9))*G10</x:f>
        <x:v>180000000</x:v>
      </x:c>
      <x:c r="H12" s="25" t="str">
        <x:v>VNĐ</x:v>
      </x:c>
    </x:row>
    <x:row r="13">
      <x:c r="A13" s="25" t="str">
        <x:v>Closed Deal</x:v>
      </x:c>
      <x:c r="B13" s="27" t="n">
        <x:v>36</x:v>
      </x:c>
      <x:c r="C13" s="27" t="n">
        <x:v>38</x:v>
      </x:c>
      <x:c r="D13" s="29" t="n">
        <x:f>IFERROR(C13/B13,0)</x:f>
        <x:v>1.0555555555555556</x:v>
      </x:c>
      <x:c r="F13" s="31" t="str">
        <x:v>LTV:CAC</x:v>
      </x:c>
      <x:c r="G13" s="38" t="n">
        <x:f>IFERROR(G12/G11,0)</x:f>
        <x:v>11.03225806451613</x:v>
      </x:c>
      <x:c r="H13" s="25" t="str">
        <x:v>x</x:v>
      </x:c>
    </x:row>
    <x:row r="14">
      <x:c r="A14" s="25" t="str">
        <x:v>Pipeline Value (VNĐ)</x:v>
      </x:c>
      <x:c r="B14" s="28" t="n">
        <x:v>3600000000</x:v>
      </x:c>
      <x:c r="C14" s="28" t="n">
        <x:v>3820000000</x:v>
      </x:c>
      <x:c r="D14" s="29" t="n">
        <x:f>IFERROR(C14/B14,0)</x:f>
        <x:v>1.0611111111111111</x:v>
      </x:c>
    </x:row>
    <x:row r="15">
      <x:c r="A15" s="25" t="str">
        <x:v>Won Value (VNĐ)</x:v>
      </x:c>
      <x:c r="B15" s="28" t="n">
        <x:v>2200000000</x:v>
      </x:c>
      <x:c r="C15" s="28" t="n">
        <x:v>2410000000</x:v>
      </x:c>
      <x:c r="D15" s="29" t="n">
        <x:f>IFERROR(C15/B15,0)</x:f>
        <x:v>1.0954545454545455</x:v>
      </x:c>
    </x:row>
  </x:sheetData>
  <x:mergeCells>
    <x:mergeCell ref="A1:H1"/>
    <x:mergeCell ref="A2:H2"/>
    <x:mergeCell ref="F4:H4"/>
  </x:mergeCells>
  <x:conditionalFormatting sqref="D9:D15">
    <x:cfRule type="cellIs" dxfId="0" priority="1" operator="greaterThanOrEqual">
      <x:formula>1</x:formula>
    </x:cfRule>
    <x:cfRule type="cellIs" dxfId="1" priority="2" operator="lessThan">
      <x:formula>0.8</x:formula>
    </x:cfRule>
  </x:conditionalFormatting>
  <x:pageMargins left="0.7" right="0.7" top="0.75" bottom="0.75" header="0.3" footer="0.3"/>
  <x:drawing xmlns:r="http://schemas.openxmlformats.org/officeDocument/2006/relationships" r:id="R9b829f7f873b42d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1" hidden="0" customWidth="1"/>
    <x:col min="3" max="3" width="20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14" hidden="0" customWidth="1"/>
    <x:col min="9" max="9" width="12" hidden="0" customWidth="1"/>
    <x:col min="10" max="10" width="14" hidden="0" customWidth="1"/>
    <x:col min="11" max="11" width="14" hidden="0" customWidth="1"/>
    <x:col min="12" max="12" width="16" hidden="0" customWidth="1"/>
    <x:col min="13" max="13" width="12" hidden="0" customWidth="1"/>
    <x:col min="14" max="14" width="28" hidden="0" customWidth="1"/>
    <x:col min="15" max="15" width="30" hidden="0" customWidth="1"/>
    <x:col min="16" max="16" width="26" hidden="0" customWidth="1"/>
    <x:col min="17" max="17" width="20" hidden="0" customWidth="1"/>
    <x:col min="18" max="18" width="20" hidden="0" customWidth="1"/>
    <x:col min="19" max="19" width="20" hidden="0" customWidth="1"/>
  </x:cols>
  <x:sheetData>
    <x:row r="1" ht="36" customHeight="1">
      <x:c r="A1" s="4" t="str">
        <x:v>TASK LIST</x:v>
      </x:c>
      <x:c r="B1" s="4" t="str">
        <x:v>TASK LIST</x:v>
      </x:c>
      <x:c r="C1" s="4" t="str">
        <x:v>TASK LIST</x:v>
      </x:c>
      <x:c r="D1" s="4" t="str">
        <x:v>TASK LIST</x:v>
      </x:c>
      <x:c r="E1" s="4" t="str">
        <x:v>TASK LIST</x:v>
      </x:c>
      <x:c r="F1" s="4" t="str">
        <x:v>TASK LIST</x:v>
      </x:c>
      <x:c r="G1" s="4" t="str">
        <x:v>TASK LIST</x:v>
      </x:c>
      <x:c r="H1" s="4" t="str">
        <x:v>TASK LIST</x:v>
      </x:c>
      <x:c r="I1" s="4" t="str">
        <x:v>TASK LIST</x:v>
      </x:c>
      <x:c r="J1" s="4" t="str">
        <x:v>TASK LIST</x:v>
      </x:c>
      <x:c r="K1" s="4" t="str">
        <x:v>TASK LIST</x:v>
      </x:c>
      <x:c r="L1" s="4" t="str">
        <x:v>TASK LIST</x:v>
      </x:c>
      <x:c r="M1" s="4" t="str">
        <x:v>TASK LIST</x:v>
      </x:c>
      <x:c r="N1" s="4" t="str">
        <x:v>TASK LIST</x:v>
      </x:c>
      <x:c r="O1" s="4" t="str">
        <x:v>TASK LIST</x:v>
      </x:c>
      <x:c r="P1" s="4" t="str">
        <x:v>TASK LIST</x:v>
      </x:c>
      <x:c r="Q1" s="4" t="str">
        <x:v>TASK LIST</x:v>
      </x:c>
      <x:c r="R1" s="4" t="str">
        <x:v>TASK LIST</x:v>
      </x:c>
      <x:c r="S1" s="4" t="str">
        <x:v>TASK LIST</x:v>
      </x:c>
    </x:row>
    <x:row r="2" ht="24" customHeight="1">
      <x:c r="A2" s="8" t="str">
        <x:v>Toàn bộ task trong kỳ - thay dữ liệu mẫu bằng dữ liệu export thực tế</x:v>
      </x:c>
      <x:c r="B2" s="8" t="str">
        <x:v>Toàn bộ task trong kỳ - thay dữ liệu mẫu bằng dữ liệu export thực tế</x:v>
      </x:c>
      <x:c r="C2" s="8" t="str">
        <x:v>Toàn bộ task trong kỳ - thay dữ liệu mẫu bằng dữ liệu export thực tế</x:v>
      </x:c>
      <x:c r="D2" s="8" t="str">
        <x:v>Toàn bộ task trong kỳ - thay dữ liệu mẫu bằng dữ liệu export thực tế</x:v>
      </x:c>
      <x:c r="E2" s="8" t="str">
        <x:v>Toàn bộ task trong kỳ - thay dữ liệu mẫu bằng dữ liệu export thực tế</x:v>
      </x:c>
      <x:c r="F2" s="8" t="str">
        <x:v>Toàn bộ task trong kỳ - thay dữ liệu mẫu bằng dữ liệu export thực tế</x:v>
      </x:c>
      <x:c r="G2" s="8" t="str">
        <x:v>Toàn bộ task trong kỳ - thay dữ liệu mẫu bằng dữ liệu export thực tế</x:v>
      </x:c>
      <x:c r="H2" s="8" t="str">
        <x:v>Toàn bộ task trong kỳ - thay dữ liệu mẫu bằng dữ liệu export thực tế</x:v>
      </x:c>
      <x:c r="I2" s="8" t="str">
        <x:v>Toàn bộ task trong kỳ - thay dữ liệu mẫu bằng dữ liệu export thực tế</x:v>
      </x:c>
      <x:c r="J2" s="8" t="str">
        <x:v>Toàn bộ task trong kỳ - thay dữ liệu mẫu bằng dữ liệu export thực tế</x:v>
      </x:c>
      <x:c r="K2" s="8" t="str">
        <x:v>Toàn bộ task trong kỳ - thay dữ liệu mẫu bằng dữ liệu export thực tế</x:v>
      </x:c>
      <x:c r="L2" s="8" t="str">
        <x:v>Toàn bộ task trong kỳ - thay dữ liệu mẫu bằng dữ liệu export thực tế</x:v>
      </x:c>
      <x:c r="M2" s="8" t="str">
        <x:v>Toàn bộ task trong kỳ - thay dữ liệu mẫu bằng dữ liệu export thực tế</x:v>
      </x:c>
      <x:c r="N2" s="8" t="str">
        <x:v>Toàn bộ task trong kỳ - thay dữ liệu mẫu bằng dữ liệu export thực tế</x:v>
      </x:c>
      <x:c r="O2" s="8" t="str">
        <x:v>Toàn bộ task trong kỳ - thay dữ liệu mẫu bằng dữ liệu export thực tế</x:v>
      </x:c>
      <x:c r="P2" s="8" t="str">
        <x:v>Toàn bộ task trong kỳ - thay dữ liệu mẫu bằng dữ liệu export thực tế</x:v>
      </x:c>
      <x:c r="Q2" s="8" t="str">
        <x:v>Toàn bộ task trong kỳ - thay dữ liệu mẫu bằng dữ liệu export thực tế</x:v>
      </x:c>
      <x:c r="R2" s="8" t="str">
        <x:v>Toàn bộ task trong kỳ - thay dữ liệu mẫu bằng dữ liệu export thực tế</x:v>
      </x:c>
      <x:c r="S2" s="8" t="str">
        <x:v>Toàn bộ task trong kỳ - thay dữ liệu mẫu bằng dữ liệu export thực tế</x:v>
      </x:c>
    </x:row>
    <x:row r="4" ht="30" customHeight="1">
      <x:c r="A4" s="21" t="str">
        <x:v>id</x:v>
      </x:c>
      <x:c r="B4" s="21" t="str">
        <x:v>project_id</x:v>
      </x:c>
      <x:c r="C4" s="21" t="str">
        <x:v>project</x:v>
      </x:c>
      <x:c r="D4" s="21" t="str">
        <x:v>task_name</x:v>
      </x:c>
      <x:c r="E4" s="21" t="str">
        <x:v>description</x:v>
      </x:c>
      <x:c r="F4" s="21" t="str">
        <x:v>assignee</x:v>
      </x:c>
      <x:c r="G4" s="21" t="str">
        <x:v>stakeholders</x:v>
      </x:c>
      <x:c r="H4" s="21" t="str">
        <x:v>status</x:v>
      </x:c>
      <x:c r="I4" s="21" t="str">
        <x:v>priority</x:v>
      </x:c>
      <x:c r="J4" s="21" t="str">
        <x:v>start_date</x:v>
      </x:c>
      <x:c r="K4" s="21" t="str">
        <x:v>due_date</x:v>
      </x:c>
      <x:c r="L4" s="21" t="str">
        <x:v>completed_date</x:v>
      </x:c>
      <x:c r="M4" s="21" t="str">
        <x:v>exec_week</x:v>
      </x:c>
      <x:c r="N4" s="21" t="str">
        <x:v>reason</x:v>
      </x:c>
      <x:c r="O4" s="21" t="str">
        <x:v>needed_support_bod</x:v>
      </x:c>
      <x:c r="P4" s="21" t="str">
        <x:v>link</x:v>
      </x:c>
      <x:c r="Q4" s="21" t="str">
        <x:v>remark</x:v>
      </x:c>
      <x:c r="R4" s="21" t="str">
        <x:v>created_at</x:v>
      </x:c>
      <x:c r="S4" s="21" t="str">
        <x:v>updated_at</x:v>
      </x:c>
    </x:row>
    <x:row r="5">
      <x:c r="A5" s="25" t="n">
        <x:v>101</x:v>
      </x:c>
      <x:c r="B5" s="25" t="n">
        <x:v>1</x:v>
      </x:c>
      <x:c r="C5" s="25" t="str">
        <x:v>Campaign Q2</x:v>
      </x:c>
      <x:c r="D5" s="25" t="str">
        <x:v>Thiết kế banner Q3</x:v>
      </x:c>
      <x:c r="E5" s="25" t="str">
        <x:v>Hoàn thiện key visual</x:v>
      </x:c>
      <x:c r="F5" s="25" t="str">
        <x:v>Chi Pham</x:v>
      </x:c>
      <x:c r="G5" s="25" t="str">
        <x:v>Sales Team</x:v>
      </x:c>
      <x:c r="H5" s="25" t="str">
        <x:v>Done</x:v>
      </x:c>
      <x:c r="I5" s="25" t="str">
        <x:v>High</x:v>
      </x:c>
      <x:c r="J5" s="39" t="n">
        <x:v>46175</x:v>
      </x:c>
      <x:c r="K5" s="39" t="n">
        <x:v>46185</x:v>
      </x:c>
      <x:c r="L5" s="39" t="n">
        <x:v>46184</x:v>
      </x:c>
      <x:c r="M5" s="25" t="n">
        <x:v>24</x:v>
      </x:c>
      <x:c r="N5" s="25"/>
      <x:c r="O5" s="25"/>
      <x:c r="P5" s="25" t="str">
        <x:v>https://example.com/banner</x:v>
      </x:c>
      <x:c r="Q5" s="25" t="str">
        <x:v>Đã duyệt</x:v>
      </x:c>
      <x:c r="R5" s="40" t="n">
        <x:v>46174.375</x:v>
      </x:c>
      <x:c r="S5" s="40" t="n">
        <x:v>46184.666666666664</x:v>
      </x:c>
    </x:row>
    <x:row r="6">
      <x:c r="A6" s="25" t="n">
        <x:v>102</x:v>
      </x:c>
      <x:c r="B6" s="25" t="n">
        <x:v>1</x:v>
      </x:c>
      <x:c r="C6" s="25" t="str">
        <x:v>Campaign Q2</x:v>
      </x:c>
      <x:c r="D6" s="25" t="str">
        <x:v>Content Blog T6</x:v>
      </x:c>
      <x:c r="E6" s="25" t="str">
        <x:v>Viết bài SEO</x:v>
      </x:c>
      <x:c r="F6" s="25" t="str">
        <x:v>An Tran</x:v>
      </x:c>
      <x:c r="G6" s="25" t="str">
        <x:v>Dev Team</x:v>
      </x:c>
      <x:c r="H6" s="25" t="str">
        <x:v>Processing</x:v>
      </x:c>
      <x:c r="I6" s="25" t="str">
        <x:v>Medium</x:v>
      </x:c>
      <x:c r="J6" s="39" t="n">
        <x:v>46189</x:v>
      </x:c>
      <x:c r="K6" s="39" t="n">
        <x:v>46198</x:v>
      </x:c>
      <x:c r="L6" s="39"/>
      <x:c r="M6" s="25" t="n">
        <x:v>26</x:v>
      </x:c>
      <x:c r="N6" s="25"/>
      <x:c r="O6" s="25"/>
      <x:c r="P6" s="25" t="str">
        <x:v>https://example.com/content</x:v>
      </x:c>
      <x:c r="Q6" s="25"/>
      <x:c r="R6" s="40" t="n">
        <x:v>46188.375</x:v>
      </x:c>
      <x:c r="S6" s="40" t="n">
        <x:v>46193.416666666664</x:v>
      </x:c>
    </x:row>
    <x:row r="7">
      <x:c r="A7" s="25" t="n">
        <x:v>103</x:v>
      </x:c>
      <x:c r="B7" s="25" t="n">
        <x:v>2</x:v>
      </x:c>
      <x:c r="C7" s="25" t="str">
        <x:v>SEO Revamp</x:v>
      </x:c>
      <x:c r="D7" s="25" t="str">
        <x:v>Review technical SEO</x:v>
      </x:c>
      <x:c r="E7" s="25" t="str">
        <x:v>Rà soát lỗi kỹ thuật</x:v>
      </x:c>
      <x:c r="F7" s="25" t="str">
        <x:v>Truc Nguyen</x:v>
      </x:c>
      <x:c r="G7" s="25" t="str">
        <x:v>BOD</x:v>
      </x:c>
      <x:c r="H7" s="25" t="str">
        <x:v>Backlog</x:v>
      </x:c>
      <x:c r="I7" s="25" t="str">
        <x:v>High</x:v>
      </x:c>
      <x:c r="J7" s="39" t="n">
        <x:v>46182</x:v>
      </x:c>
      <x:c r="K7" s="39" t="n">
        <x:v>46193</x:v>
      </x:c>
      <x:c r="L7" s="39"/>
      <x:c r="M7" s="25" t="n">
        <x:v>25</x:v>
      </x:c>
      <x:c r="N7" s="25" t="str">
        <x:v>Chờ Dev Team cung cấp log</x:v>
      </x:c>
      <x:c r="O7" s="25" t="str">
        <x:v>Ưu tiên hỗ trợ nguồn lực Dev</x:v>
      </x:c>
      <x:c r="P7" s="25" t="str">
        <x:v>https://example.com/seo</x:v>
      </x:c>
      <x:c r="Q7" s="25" t="str">
        <x:v>Blocked</x:v>
      </x:c>
      <x:c r="R7" s="40" t="n">
        <x:v>46181.375</x:v>
      </x:c>
      <x:c r="S7" s="40" t="n">
        <x:v>46192.458333333336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1be6d5519ff34f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26" hidden="0" customWidth="1"/>
    <x:col min="4" max="4" width="15" hidden="0" customWidth="1"/>
    <x:col min="5" max="5" width="22" hidden="0" customWidth="1"/>
    <x:col min="6" max="6" width="18" hidden="0" customWidth="1"/>
    <x:col min="7" max="7" width="18" hidden="0" customWidth="1"/>
    <x:col min="8" max="8" width="20" hidden="0" customWidth="1"/>
    <x:col min="9" max="9" width="16" hidden="0" customWidth="1"/>
  </x:cols>
  <x:sheetData>
    <x:row r="1" ht="36" customHeight="1">
      <x:c r="A1" s="4" t="str">
        <x:v>LEADS DETAIL</x:v>
      </x:c>
      <x:c r="B1" s="4" t="str">
        <x:v>LEADS DETAIL</x:v>
      </x:c>
      <x:c r="C1" s="4" t="str">
        <x:v>LEADS DETAIL</x:v>
      </x:c>
      <x:c r="D1" s="4" t="str">
        <x:v>LEADS DETAIL</x:v>
      </x:c>
      <x:c r="E1" s="4" t="str">
        <x:v>LEADS DETAIL</x:v>
      </x:c>
      <x:c r="F1" s="4" t="str">
        <x:v>LEADS DETAIL</x:v>
      </x:c>
      <x:c r="G1" s="4" t="str">
        <x:v>LEADS DETAIL</x:v>
      </x:c>
      <x:c r="H1" s="4" t="str">
        <x:v>LEADS DETAIL</x:v>
      </x:c>
      <x:c r="I1" s="4" t="str">
        <x:v>LEADS DETAIL</x:v>
      </x:c>
    </x:row>
    <x:row r="2" ht="24" customHeight="1">
      <x:c r="A2" s="8" t="str">
        <x:v>Closed Deals và Pipeline theo tuần trong kỳ báo cáo</x:v>
      </x:c>
      <x:c r="B2" s="8" t="str">
        <x:v>Closed Deals và Pipeline theo tuần trong kỳ báo cáo</x:v>
      </x:c>
      <x:c r="C2" s="8" t="str">
        <x:v>Closed Deals và Pipeline theo tuần trong kỳ báo cáo</x:v>
      </x:c>
      <x:c r="D2" s="8" t="str">
        <x:v>Closed Deals và Pipeline theo tuần trong kỳ báo cáo</x:v>
      </x:c>
      <x:c r="E2" s="8" t="str">
        <x:v>Closed Deals và Pipeline theo tuần trong kỳ báo cáo</x:v>
      </x:c>
      <x:c r="F2" s="8" t="str">
        <x:v>Closed Deals và Pipeline theo tuần trong kỳ báo cáo</x:v>
      </x:c>
      <x:c r="G2" s="8" t="str">
        <x:v>Closed Deals và Pipeline theo tuần trong kỳ báo cáo</x:v>
      </x:c>
      <x:c r="H2" s="8" t="str">
        <x:v>Closed Deals và Pipeline theo tuần trong kỳ báo cáo</x:v>
      </x:c>
      <x:c r="I2" s="8" t="str">
        <x:v>Closed Deals và Pipeline theo tuần trong kỳ báo cáo</x:v>
      </x:c>
    </x:row>
    <x:row r="4" ht="30" customHeight="1">
      <x:c r="A4" s="21" t="str">
        <x:v>year</x:v>
      </x:c>
      <x:c r="B4" s="21" t="str">
        <x:v>week</x:v>
      </x:c>
      <x:c r="C4" s="21" t="str">
        <x:v>company_name</x:v>
      </x:c>
      <x:c r="D4" s="21" t="str">
        <x:v>size</x:v>
      </x:c>
      <x:c r="E4" s="21" t="str">
        <x:v>project</x:v>
      </x:c>
      <x:c r="F4" s="21" t="str">
        <x:v>setup_fee</x:v>
      </x:c>
      <x:c r="G4" s="21" t="str">
        <x:v>monthly_fee</x:v>
      </x:c>
      <x:c r="H4" s="21" t="str">
        <x:v>deal_value</x:v>
      </x:c>
      <x:c r="I4" s="21" t="str">
        <x:v>closed_date</x:v>
      </x:c>
    </x:row>
    <x:row r="5">
      <x:c r="A5" s="25" t="n">
        <x:v>2026</x:v>
      </x:c>
      <x:c r="B5" s="25" t="n">
        <x:v>20</x:v>
      </x:c>
      <x:c r="C5" s="25" t="str">
        <x:v>Công ty Alpha</x:v>
      </x:c>
      <x:c r="D5" s="25" t="str">
        <x:v>Enterprise</x:v>
      </x:c>
      <x:c r="E5" s="25" t="str">
        <x:v>Lead Generation</x:v>
      </x:c>
      <x:c r="F5" s="33" t="n">
        <x:v>50000000</x:v>
      </x:c>
      <x:c r="G5" s="33" t="n">
        <x:v>5000000</x:v>
      </x:c>
      <x:c r="H5" s="33" t="n">
        <x:f>F5+G5*12</x:f>
        <x:v>110000000</x:v>
      </x:c>
      <x:c r="I5" s="39" t="n">
        <x:v>46157</x:v>
      </x:c>
    </x:row>
    <x:row r="6">
      <x:c r="A6" s="25" t="n">
        <x:v>2026</x:v>
      </x:c>
      <x:c r="B6" s="25" t="n">
        <x:v>22</x:v>
      </x:c>
      <x:c r="C6" s="25" t="str">
        <x:v>Công ty Beta</x:v>
      </x:c>
      <x:c r="D6" s="25" t="str">
        <x:v>Medium</x:v>
      </x:c>
      <x:c r="E6" s="25" t="str">
        <x:v>Online Campaign</x:v>
      </x:c>
      <x:c r="F6" s="33" t="n">
        <x:v>30000000</x:v>
      </x:c>
      <x:c r="G6" s="33" t="n">
        <x:v>3000000</x:v>
      </x:c>
      <x:c r="H6" s="33" t="n">
        <x:f>F6+G6*12</x:f>
        <x:v>66000000</x:v>
      </x:c>
      <x:c r="I6" s="39" t="n">
        <x:v>46171</x:v>
      </x:c>
    </x:row>
    <x:row r="7">
      <x:c r="A7" s="25" t="n">
        <x:v>2026</x:v>
      </x:c>
      <x:c r="B7" s="25" t="n">
        <x:v>25</x:v>
      </x:c>
      <x:c r="C7" s="25" t="str">
        <x:v>Công ty Gamma</x:v>
      </x:c>
      <x:c r="D7" s="25" t="str">
        <x:v>Enterprise</x:v>
      </x:c>
      <x:c r="E7" s="25" t="str">
        <x:v>Workshop</x:v>
      </x:c>
      <x:c r="F7" s="33" t="n">
        <x:v>70000000</x:v>
      </x:c>
      <x:c r="G7" s="33" t="n">
        <x:v>7000000</x:v>
      </x:c>
      <x:c r="H7" s="33" t="n">
        <x:f>F7+G7*12</x:f>
        <x:v>154000000</x:v>
      </x:c>
      <x:c r="I7" s="39" t="n">
        <x:v>46193</x:v>
      </x:c>
    </x:row>
    <x:row r="10" ht="30" customHeight="1">
      <x:c r="A10" s="21" t="str">
        <x:v>week</x:v>
      </x:c>
      <x:c r="B10" s="21" t="str">
        <x:v>raw_leads</x:v>
      </x:c>
      <x:c r="C10" s="21" t="str">
        <x:v>mql</x:v>
      </x:c>
      <x:c r="D10" s="21" t="str">
        <x:v>sql</x:v>
      </x:c>
      <x:c r="E10" s="21" t="str">
        <x:v>opp_count</x:v>
      </x:c>
      <x:c r="F10" s="21" t="str">
        <x:v>closed_deal_count</x:v>
      </x:c>
      <x:c r="G10" s="21" t="str">
        <x:v>pipeline_value</x:v>
      </x:c>
      <x:c r="H10" s="21" t="str">
        <x:v>won_value</x:v>
      </x:c>
    </x:row>
    <x:row r="11">
      <x:c r="A11" s="25" t="n">
        <x:v>20</x:v>
      </x:c>
      <x:c r="B11" s="41" t="n">
        <x:v>280</x:v>
      </x:c>
      <x:c r="C11" s="41" t="n">
        <x:v>112</x:v>
      </x:c>
      <x:c r="D11" s="41" t="n">
        <x:v>49</x:v>
      </x:c>
      <x:c r="E11" s="41" t="n">
        <x:v>10</x:v>
      </x:c>
      <x:c r="F11" s="41" t="n">
        <x:v>4</x:v>
      </x:c>
      <x:c r="G11" s="33" t="n">
        <x:v>320000000</x:v>
      </x:c>
      <x:c r="H11" s="33" t="n">
        <x:v>480000000</x:v>
      </x:c>
    </x:row>
    <x:row r="12">
      <x:c r="A12" s="25" t="n">
        <x:v>21</x:v>
      </x:c>
      <x:c r="B12" s="41" t="n">
        <x:v>300</x:v>
      </x:c>
      <x:c r="C12" s="41" t="n">
        <x:v>120</x:v>
      </x:c>
      <x:c r="D12" s="41" t="n">
        <x:v>52</x:v>
      </x:c>
      <x:c r="E12" s="41" t="n">
        <x:v>11</x:v>
      </x:c>
      <x:c r="F12" s="41" t="n">
        <x:v>3</x:v>
      </x:c>
      <x:c r="G12" s="33" t="n">
        <x:v>350000000</x:v>
      </x:c>
      <x:c r="H12" s="33" t="n">
        <x:v>390000000</x:v>
      </x:c>
    </x:row>
    <x:row r="13">
      <x:c r="A13" s="25" t="n">
        <x:v>22</x:v>
      </x:c>
      <x:c r="B13" s="41" t="n">
        <x:v>275</x:v>
      </x:c>
      <x:c r="C13" s="41" t="n">
        <x:v>108</x:v>
      </x:c>
      <x:c r="D13" s="41" t="n">
        <x:v>47</x:v>
      </x:c>
      <x:c r="E13" s="41" t="n">
        <x:v>9</x:v>
      </x:c>
      <x:c r="F13" s="41" t="n">
        <x:v>4</x:v>
      </x:c>
      <x:c r="G13" s="33" t="n">
        <x:v>310000000</x:v>
      </x:c>
      <x:c r="H13" s="33" t="n">
        <x:v>510000000</x:v>
      </x:c>
    </x:row>
    <x:row r="14">
      <x:c r="A14" s="25" t="n">
        <x:v>23</x:v>
      </x:c>
      <x:c r="B14" s="41" t="n">
        <x:v>315</x:v>
      </x:c>
      <x:c r="C14" s="41" t="n">
        <x:v>126</x:v>
      </x:c>
      <x:c r="D14" s="41" t="n">
        <x:v>55</x:v>
      </x:c>
      <x:c r="E14" s="41" t="n">
        <x:v>12</x:v>
      </x:c>
      <x:c r="F14" s="41" t="n">
        <x:v>5</x:v>
      </x:c>
      <x:c r="G14" s="33" t="n">
        <x:v>420000000</x:v>
      </x:c>
      <x:c r="H14" s="33" t="n">
        <x:v>620000000</x:v>
      </x:c>
    </x:row>
    <x:row r="15">
      <x:c r="A15" s="25" t="n">
        <x:v>24</x:v>
      </x:c>
      <x:c r="B15" s="41" t="n">
        <x:v>290</x:v>
      </x:c>
      <x:c r="C15" s="41" t="n">
        <x:v>116</x:v>
      </x:c>
      <x:c r="D15" s="41" t="n">
        <x:v>51</x:v>
      </x:c>
      <x:c r="E15" s="41" t="n">
        <x:v>10</x:v>
      </x:c>
      <x:c r="F15" s="41" t="n">
        <x:v>4</x:v>
      </x:c>
      <x:c r="G15" s="33" t="n">
        <x:v>380000000</x:v>
      </x:c>
      <x:c r="H15" s="33" t="n">
        <x:v>540000000</x:v>
      </x:c>
    </x:row>
  </x:sheetData>
  <x:mergeCells>
    <x:mergeCell ref="A1:I1"/>
    <x:mergeCell ref="A2:I2"/>
  </x:mergeCells>
  <x:pageMargins left="0.7" right="0.7" top="0.75" bottom="0.75" header="0.3" footer="0.3"/>
  <x:tableParts count="2">
    <x:tablePart xmlns:r="http://schemas.openxmlformats.org/officeDocument/2006/relationships" r:id="R66bbcd64c8204ead"/>
    <x:tablePart xmlns:r="http://schemas.openxmlformats.org/officeDocument/2006/relationships" r:id="Rdbf781ddf69946f4"/>
  </x:tableParts>
</x:worksheet>
</file>